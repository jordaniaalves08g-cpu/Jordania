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ei\Documents\GitHub\Jordania\"/>
    </mc:Choice>
  </mc:AlternateContent>
  <xr:revisionPtr revIDLastSave="0" documentId="8_{ED6C2A46-54C0-4F9F-8950-E29CBF95AC3F}" xr6:coauthVersionLast="47" xr6:coauthVersionMax="47" xr10:uidLastSave="{00000000-0000-0000-0000-000000000000}"/>
  <bookViews>
    <workbookView xWindow="9000" yWindow="0" windowWidth="19890" windowHeight="15480" activeTab="3" xr2:uid="{71A50D41-CA81-4387-A51E-BC16C6D9F13D}"/>
  </bookViews>
  <sheets>
    <sheet name="Planilha1" sheetId="1" r:id="rId1"/>
    <sheet name="Planilha1 (2)" sheetId="3" r:id="rId2"/>
    <sheet name="Planilha1 (3)" sheetId="4" r:id="rId3"/>
    <sheet name="Planilha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5" l="1"/>
  <c r="F5" i="5"/>
  <c r="F6" i="5"/>
  <c r="F7" i="5"/>
  <c r="F8" i="5"/>
  <c r="F9" i="5"/>
  <c r="F10" i="5"/>
  <c r="F11" i="5"/>
  <c r="F12" i="5"/>
  <c r="F4" i="5"/>
  <c r="E5" i="5"/>
  <c r="E6" i="5"/>
  <c r="E7" i="5"/>
  <c r="E8" i="5"/>
  <c r="E9" i="5"/>
  <c r="E10" i="5"/>
  <c r="E11" i="5"/>
  <c r="E4" i="5"/>
  <c r="B6" i="5"/>
  <c r="C6" i="5"/>
  <c r="D6" i="5"/>
  <c r="B7" i="5"/>
  <c r="C7" i="5"/>
  <c r="B8" i="5"/>
  <c r="C8" i="5"/>
  <c r="D8" i="5"/>
  <c r="B9" i="5"/>
  <c r="C9" i="5"/>
  <c r="B10" i="5"/>
  <c r="C10" i="5"/>
  <c r="D10" i="5"/>
  <c r="B11" i="5"/>
  <c r="C11" i="5"/>
  <c r="B12" i="5"/>
  <c r="C12" i="5"/>
  <c r="D12" i="5"/>
  <c r="B4" i="5"/>
  <c r="C5" i="5"/>
  <c r="B5" i="5"/>
  <c r="D4" i="5"/>
  <c r="C4" i="5"/>
  <c r="B17" i="4"/>
  <c r="B16" i="4"/>
  <c r="B15" i="4"/>
  <c r="G13" i="4"/>
  <c r="G12" i="4"/>
  <c r="G11" i="4"/>
  <c r="G10" i="4"/>
  <c r="G9" i="4"/>
  <c r="G8" i="4"/>
  <c r="G7" i="4"/>
  <c r="G6" i="4"/>
  <c r="G5" i="4"/>
  <c r="B17" i="3"/>
  <c r="B16" i="3"/>
  <c r="B15" i="3"/>
  <c r="G13" i="3"/>
  <c r="G12" i="3"/>
  <c r="G11" i="3"/>
  <c r="G10" i="3"/>
  <c r="G9" i="3"/>
  <c r="G7" i="3"/>
  <c r="G8" i="3"/>
  <c r="G6" i="3"/>
  <c r="G5" i="3"/>
  <c r="B15" i="1"/>
  <c r="G13" i="1"/>
  <c r="G12" i="1"/>
  <c r="G11" i="1"/>
  <c r="G10" i="1"/>
  <c r="G9" i="1"/>
  <c r="G8" i="1"/>
  <c r="G7" i="1"/>
  <c r="G6" i="1"/>
  <c r="G5" i="1"/>
  <c r="B17" i="1" l="1"/>
  <c r="B16" i="1"/>
</calcChain>
</file>

<file path=xl/sharedStrings.xml><?xml version="1.0" encoding="utf-8"?>
<sst xmlns="http://schemas.openxmlformats.org/spreadsheetml/2006/main" count="85" uniqueCount="34">
  <si>
    <t>André Pinheiro</t>
  </si>
  <si>
    <t>Escola Fundamental</t>
  </si>
  <si>
    <t>Avaliação 1o. Trimestre</t>
  </si>
  <si>
    <t>Disciplinas</t>
  </si>
  <si>
    <t>Matemática</t>
  </si>
  <si>
    <t>História</t>
  </si>
  <si>
    <t>Lingua portuguesa</t>
  </si>
  <si>
    <t>Geografia</t>
  </si>
  <si>
    <t>Ciências</t>
  </si>
  <si>
    <t>Educação Artística</t>
  </si>
  <si>
    <t>Educação Física</t>
  </si>
  <si>
    <t>Ensino Religioso</t>
  </si>
  <si>
    <t>informática</t>
  </si>
  <si>
    <t>participação</t>
  </si>
  <si>
    <t>Trabalho</t>
  </si>
  <si>
    <t>Avaliação Periódica</t>
  </si>
  <si>
    <t>Prova Final</t>
  </si>
  <si>
    <t>No. De falhas</t>
  </si>
  <si>
    <t>Média</t>
  </si>
  <si>
    <t>Total de Faltas</t>
  </si>
  <si>
    <t>Maior Nota</t>
  </si>
  <si>
    <t xml:space="preserve">Menor nota </t>
  </si>
  <si>
    <t>Aluno</t>
  </si>
  <si>
    <t>1o. Trimestre</t>
  </si>
  <si>
    <t xml:space="preserve">2o. Trimestre </t>
  </si>
  <si>
    <t>3o. Trimestre</t>
  </si>
  <si>
    <t>Faltas</t>
  </si>
  <si>
    <t>Média Final</t>
  </si>
  <si>
    <t>Lingua Portuguesa</t>
  </si>
  <si>
    <t xml:space="preserve">Geografia </t>
  </si>
  <si>
    <t xml:space="preserve">Ciência </t>
  </si>
  <si>
    <t xml:space="preserve">Educaçao Artística </t>
  </si>
  <si>
    <t xml:space="preserve">Educação Fisica </t>
  </si>
  <si>
    <t xml:space="preserve">Informática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</si>
</sst>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7" formatCode="&quot;R$&quot;\ #,##0.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 textRotation="90"/>
    </xf>
    <xf numFmtId="0" fontId="0" fillId="2" borderId="1" xfId="0" applyFill="1" applyBorder="1" applyAlignment="1">
      <alignment horizontal="center" textRotation="90"/>
    </xf>
    <xf numFmtId="2" fontId="0" fillId="0" borderId="1" xfId="0" applyNumberFormat="1" applyBorder="1" applyAlignment="1">
      <alignment horizontal="center" vertical="center"/>
    </xf>
    <xf numFmtId="0" fontId="0" fillId="0" borderId="0" xfId="0" applyBorder="1"/>
    <xf numFmtId="165" fontId="0" fillId="0" borderId="1" xfId="0" applyNumberFormat="1" applyBorder="1"/>
    <xf numFmtId="167" fontId="0" fillId="0" borderId="1" xfId="0" applyNumberFormat="1" applyBorder="1"/>
    <xf numFmtId="0" fontId="0" fillId="3" borderId="0" xfId="0" applyFont="1" applyFill="1"/>
    <xf numFmtId="0" fontId="0" fillId="4" borderId="0" xfId="0" applyFill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E26A-81CC-49F7-B5B4-F5B087010B8A}">
  <dimension ref="A1:G17"/>
  <sheetViews>
    <sheetView workbookViewId="0">
      <selection activeCell="B6" sqref="B6"/>
    </sheetView>
  </sheetViews>
  <sheetFormatPr defaultRowHeight="15" x14ac:dyDescent="0.25"/>
  <cols>
    <col min="1" max="1" width="17" customWidth="1"/>
  </cols>
  <sheetData>
    <row r="1" spans="1:7" x14ac:dyDescent="0.25">
      <c r="A1" s="3"/>
      <c r="B1" s="3"/>
      <c r="C1" s="3" t="s">
        <v>1</v>
      </c>
      <c r="D1" s="3"/>
      <c r="E1" s="3"/>
      <c r="F1" s="3"/>
      <c r="G1" s="3"/>
    </row>
    <row r="2" spans="1:7" ht="18.75" customHeight="1" x14ac:dyDescent="0.25">
      <c r="A2" s="4"/>
      <c r="B2" s="4"/>
      <c r="C2" s="4" t="s">
        <v>2</v>
      </c>
      <c r="D2" s="4"/>
      <c r="E2" s="4"/>
      <c r="F2" s="4"/>
      <c r="G2" s="4"/>
    </row>
    <row r="3" spans="1:7" ht="43.5" customHeight="1" x14ac:dyDescent="0.25">
      <c r="A3" s="5" t="s">
        <v>0</v>
      </c>
      <c r="B3" s="6" t="s">
        <v>13</v>
      </c>
      <c r="C3" s="6" t="s">
        <v>14</v>
      </c>
      <c r="D3" s="7" t="s">
        <v>15</v>
      </c>
      <c r="E3" s="6" t="s">
        <v>16</v>
      </c>
      <c r="F3" s="6" t="s">
        <v>17</v>
      </c>
      <c r="G3" s="6" t="s">
        <v>18</v>
      </c>
    </row>
    <row r="4" spans="1:7" ht="52.5" customHeight="1" x14ac:dyDescent="0.25">
      <c r="A4" s="5" t="s">
        <v>3</v>
      </c>
      <c r="B4" s="6"/>
      <c r="C4" s="6"/>
      <c r="D4" s="7"/>
      <c r="E4" s="6"/>
      <c r="F4" s="6"/>
      <c r="G4" s="6"/>
    </row>
    <row r="5" spans="1:7" x14ac:dyDescent="0.25">
      <c r="A5" s="1" t="s">
        <v>4</v>
      </c>
      <c r="B5" s="8">
        <v>6.25</v>
      </c>
      <c r="C5" s="2">
        <v>7.25</v>
      </c>
      <c r="D5" s="8">
        <v>6</v>
      </c>
      <c r="E5" s="8">
        <v>5</v>
      </c>
      <c r="F5" s="2">
        <v>20</v>
      </c>
      <c r="G5" s="10">
        <f>AVERAGE(B5:E5)</f>
        <v>6.125</v>
      </c>
    </row>
    <row r="6" spans="1:7" x14ac:dyDescent="0.25">
      <c r="A6" s="1" t="s">
        <v>5</v>
      </c>
      <c r="B6" s="8">
        <v>4</v>
      </c>
      <c r="C6" s="8">
        <v>5.5</v>
      </c>
      <c r="D6" s="8">
        <v>6</v>
      </c>
      <c r="E6" s="8">
        <v>6</v>
      </c>
      <c r="F6" s="2">
        <v>6</v>
      </c>
      <c r="G6" s="10">
        <f>AVERAGE(B6:E6)</f>
        <v>5.375</v>
      </c>
    </row>
    <row r="7" spans="1:7" x14ac:dyDescent="0.25">
      <c r="A7" s="1" t="s">
        <v>6</v>
      </c>
      <c r="B7" s="2">
        <v>6.25</v>
      </c>
      <c r="C7" s="2">
        <v>5.25</v>
      </c>
      <c r="D7" s="2">
        <v>8.25</v>
      </c>
      <c r="E7" s="8">
        <v>7</v>
      </c>
      <c r="F7" s="2">
        <v>5</v>
      </c>
      <c r="G7" s="10">
        <f>AVERAGE(B7:E7)</f>
        <v>6.6875</v>
      </c>
    </row>
    <row r="8" spans="1:7" x14ac:dyDescent="0.25">
      <c r="A8" s="1" t="s">
        <v>7</v>
      </c>
      <c r="B8" s="8">
        <v>5.5</v>
      </c>
      <c r="C8" s="8">
        <v>8</v>
      </c>
      <c r="D8" s="8">
        <v>6.5</v>
      </c>
      <c r="E8" s="2">
        <v>7.25</v>
      </c>
      <c r="F8" s="2">
        <v>0</v>
      </c>
      <c r="G8" s="11">
        <f>AVERAGE(B8:E8)</f>
        <v>6.8125</v>
      </c>
    </row>
    <row r="9" spans="1:7" x14ac:dyDescent="0.25">
      <c r="A9" s="1" t="s">
        <v>8</v>
      </c>
      <c r="B9" s="8">
        <v>7</v>
      </c>
      <c r="C9" s="8">
        <v>9.5</v>
      </c>
      <c r="D9" s="2">
        <v>8.25</v>
      </c>
      <c r="E9" s="8">
        <v>7</v>
      </c>
      <c r="F9" s="2">
        <v>0</v>
      </c>
      <c r="G9" s="11">
        <f>AVERAGE(B9:E9)</f>
        <v>7.9375</v>
      </c>
    </row>
    <row r="10" spans="1:7" x14ac:dyDescent="0.25">
      <c r="A10" s="1" t="s">
        <v>9</v>
      </c>
      <c r="B10" s="2">
        <v>9.25</v>
      </c>
      <c r="C10" s="8">
        <v>8</v>
      </c>
      <c r="D10" s="8">
        <v>9</v>
      </c>
      <c r="E10" s="8">
        <v>10</v>
      </c>
      <c r="F10" s="2">
        <v>2</v>
      </c>
      <c r="G10" s="11">
        <f>AVERAGE(B10:E10)</f>
        <v>9.0625</v>
      </c>
    </row>
    <row r="11" spans="1:7" x14ac:dyDescent="0.25">
      <c r="A11" s="1" t="s">
        <v>10</v>
      </c>
      <c r="B11" s="8">
        <v>8</v>
      </c>
      <c r="C11" s="2">
        <v>9.5</v>
      </c>
      <c r="D11" s="8">
        <v>8</v>
      </c>
      <c r="E11" s="8">
        <v>8</v>
      </c>
      <c r="F11" s="2">
        <v>0</v>
      </c>
      <c r="G11" s="11">
        <f>AVERAGE(B11:E11)</f>
        <v>8.375</v>
      </c>
    </row>
    <row r="12" spans="1:7" x14ac:dyDescent="0.25">
      <c r="A12" s="1" t="s">
        <v>11</v>
      </c>
      <c r="B12" s="2">
        <v>7.25</v>
      </c>
      <c r="C12" s="2">
        <v>8.25</v>
      </c>
      <c r="D12" s="8">
        <v>6.5</v>
      </c>
      <c r="E12" s="2">
        <v>9.25</v>
      </c>
      <c r="F12" s="2">
        <v>2</v>
      </c>
      <c r="G12" s="11">
        <f>AVERAGE(B12:E12)</f>
        <v>7.8125</v>
      </c>
    </row>
    <row r="13" spans="1:7" x14ac:dyDescent="0.25">
      <c r="A13" s="1" t="s">
        <v>12</v>
      </c>
      <c r="B13" s="8">
        <v>10</v>
      </c>
      <c r="C13" s="2">
        <v>8.25</v>
      </c>
      <c r="D13" s="8">
        <v>7</v>
      </c>
      <c r="E13" s="8">
        <v>9.5</v>
      </c>
      <c r="F13" s="2">
        <v>0</v>
      </c>
      <c r="G13" s="11">
        <f>AVERAGE(B13:E13)</f>
        <v>8.6875</v>
      </c>
    </row>
    <row r="14" spans="1:7" x14ac:dyDescent="0.25">
      <c r="G14" s="9"/>
    </row>
    <row r="15" spans="1:7" x14ac:dyDescent="0.25">
      <c r="A15" s="1" t="s">
        <v>19</v>
      </c>
      <c r="B15" s="1">
        <f>SUM(F5:F13)</f>
        <v>35</v>
      </c>
    </row>
    <row r="16" spans="1:7" x14ac:dyDescent="0.25">
      <c r="A16" s="1" t="s">
        <v>20</v>
      </c>
      <c r="B16" s="10">
        <f>MAX(G5:G13)</f>
        <v>9.0625</v>
      </c>
    </row>
    <row r="17" spans="1:2" x14ac:dyDescent="0.25">
      <c r="A17" s="1" t="s">
        <v>21</v>
      </c>
      <c r="B17" s="10">
        <f>MIN(G5:G13)</f>
        <v>5.375</v>
      </c>
    </row>
  </sheetData>
  <mergeCells count="6"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2DF4-8F66-4586-907F-205EC0F147A1}">
  <dimension ref="A1:G17"/>
  <sheetViews>
    <sheetView topLeftCell="A2" workbookViewId="0">
      <selection activeCell="B32" sqref="B31:B32"/>
    </sheetView>
  </sheetViews>
  <sheetFormatPr defaultRowHeight="15" x14ac:dyDescent="0.25"/>
  <cols>
    <col min="1" max="1" width="17" customWidth="1"/>
  </cols>
  <sheetData>
    <row r="1" spans="1:7" x14ac:dyDescent="0.25">
      <c r="A1" s="3"/>
      <c r="B1" s="3"/>
      <c r="C1" s="3" t="s">
        <v>1</v>
      </c>
      <c r="D1" s="3"/>
      <c r="E1" s="3"/>
      <c r="F1" s="3"/>
      <c r="G1" s="3"/>
    </row>
    <row r="2" spans="1:7" ht="18.75" customHeight="1" x14ac:dyDescent="0.25">
      <c r="A2" s="4"/>
      <c r="B2" s="4"/>
      <c r="C2" s="4" t="s">
        <v>2</v>
      </c>
      <c r="D2" s="4"/>
      <c r="E2" s="4"/>
      <c r="F2" s="4"/>
      <c r="G2" s="4"/>
    </row>
    <row r="3" spans="1:7" ht="43.5" customHeight="1" x14ac:dyDescent="0.25">
      <c r="A3" s="5" t="s">
        <v>0</v>
      </c>
      <c r="B3" s="6" t="s">
        <v>13</v>
      </c>
      <c r="C3" s="6" t="s">
        <v>14</v>
      </c>
      <c r="D3" s="7" t="s">
        <v>15</v>
      </c>
      <c r="E3" s="6" t="s">
        <v>16</v>
      </c>
      <c r="F3" s="6" t="s">
        <v>17</v>
      </c>
      <c r="G3" s="6" t="s">
        <v>18</v>
      </c>
    </row>
    <row r="4" spans="1:7" ht="52.5" customHeight="1" x14ac:dyDescent="0.25">
      <c r="A4" s="5" t="s">
        <v>3</v>
      </c>
      <c r="B4" s="6"/>
      <c r="C4" s="6"/>
      <c r="D4" s="7"/>
      <c r="E4" s="6"/>
      <c r="F4" s="6"/>
      <c r="G4" s="6"/>
    </row>
    <row r="5" spans="1:7" x14ac:dyDescent="0.25">
      <c r="A5" s="1" t="s">
        <v>4</v>
      </c>
      <c r="B5" s="8">
        <v>7</v>
      </c>
      <c r="C5" s="8">
        <v>5</v>
      </c>
      <c r="D5" s="8">
        <v>5.5</v>
      </c>
      <c r="E5" s="8">
        <v>5.5</v>
      </c>
      <c r="F5" s="2">
        <v>21</v>
      </c>
      <c r="G5" s="10">
        <f>AVERAGE(B5:E5)</f>
        <v>5.75</v>
      </c>
    </row>
    <row r="6" spans="1:7" x14ac:dyDescent="0.25">
      <c r="A6" s="1" t="s">
        <v>5</v>
      </c>
      <c r="B6" s="8">
        <v>7</v>
      </c>
      <c r="C6" s="8">
        <v>6</v>
      </c>
      <c r="D6" s="8">
        <v>7</v>
      </c>
      <c r="E6" s="8">
        <v>7</v>
      </c>
      <c r="F6" s="2">
        <v>6</v>
      </c>
      <c r="G6" s="10">
        <f>AVERAGE(B6:E6)</f>
        <v>6.75</v>
      </c>
    </row>
    <row r="7" spans="1:7" x14ac:dyDescent="0.25">
      <c r="A7" s="1" t="s">
        <v>6</v>
      </c>
      <c r="B7" s="8">
        <v>8</v>
      </c>
      <c r="C7" s="8">
        <v>6</v>
      </c>
      <c r="D7" s="8">
        <v>8</v>
      </c>
      <c r="E7" s="8">
        <v>7</v>
      </c>
      <c r="F7" s="2">
        <v>5</v>
      </c>
      <c r="G7" s="10">
        <f>AVERAGE(B7:E7)</f>
        <v>7.25</v>
      </c>
    </row>
    <row r="8" spans="1:7" x14ac:dyDescent="0.25">
      <c r="A8" s="1" t="s">
        <v>7</v>
      </c>
      <c r="B8" s="8">
        <v>7</v>
      </c>
      <c r="C8" s="8">
        <v>7</v>
      </c>
      <c r="D8" s="8">
        <v>7</v>
      </c>
      <c r="E8" s="2">
        <v>7.25</v>
      </c>
      <c r="F8" s="2">
        <v>0</v>
      </c>
      <c r="G8" s="11">
        <f>AVERAGE(B8:E8)</f>
        <v>7.0625</v>
      </c>
    </row>
    <row r="9" spans="1:7" x14ac:dyDescent="0.25">
      <c r="A9" s="1" t="s">
        <v>8</v>
      </c>
      <c r="B9" s="8">
        <v>7</v>
      </c>
      <c r="C9" s="8">
        <v>6</v>
      </c>
      <c r="D9" s="8">
        <v>8.25</v>
      </c>
      <c r="E9" s="8">
        <v>7</v>
      </c>
      <c r="F9" s="2">
        <v>0</v>
      </c>
      <c r="G9" s="11">
        <f>AVERAGE(B9:E9)</f>
        <v>7.0625</v>
      </c>
    </row>
    <row r="10" spans="1:7" x14ac:dyDescent="0.25">
      <c r="A10" s="1" t="s">
        <v>9</v>
      </c>
      <c r="B10" s="8">
        <v>7</v>
      </c>
      <c r="C10" s="8">
        <v>7</v>
      </c>
      <c r="D10" s="8">
        <v>6</v>
      </c>
      <c r="E10" s="8">
        <v>10</v>
      </c>
      <c r="F10" s="2">
        <v>2</v>
      </c>
      <c r="G10" s="11">
        <f>AVERAGE(B10:E10)</f>
        <v>7.5</v>
      </c>
    </row>
    <row r="11" spans="1:7" x14ac:dyDescent="0.25">
      <c r="A11" s="1" t="s">
        <v>10</v>
      </c>
      <c r="B11" s="8">
        <v>8</v>
      </c>
      <c r="C11" s="8">
        <v>7</v>
      </c>
      <c r="D11" s="8">
        <v>7</v>
      </c>
      <c r="E11" s="8">
        <v>7</v>
      </c>
      <c r="F11" s="2">
        <v>0</v>
      </c>
      <c r="G11" s="11">
        <f>AVERAGE(B11:E11)</f>
        <v>7.25</v>
      </c>
    </row>
    <row r="12" spans="1:7" x14ac:dyDescent="0.25">
      <c r="A12" s="1" t="s">
        <v>11</v>
      </c>
      <c r="B12" s="2">
        <v>7.25</v>
      </c>
      <c r="C12" s="8">
        <v>8</v>
      </c>
      <c r="D12" s="8">
        <v>7</v>
      </c>
      <c r="E12" s="2">
        <v>9.25</v>
      </c>
      <c r="F12" s="2">
        <v>2</v>
      </c>
      <c r="G12" s="11">
        <f>AVERAGE(B12:E12)</f>
        <v>7.875</v>
      </c>
    </row>
    <row r="13" spans="1:7" x14ac:dyDescent="0.25">
      <c r="A13" s="1" t="s">
        <v>12</v>
      </c>
      <c r="B13" s="8">
        <v>7</v>
      </c>
      <c r="C13" s="8">
        <v>7</v>
      </c>
      <c r="D13" s="8">
        <v>7</v>
      </c>
      <c r="E13" s="8">
        <v>9.5</v>
      </c>
      <c r="F13" s="2">
        <v>0</v>
      </c>
      <c r="G13" s="11">
        <f>AVERAGE(B13:E13)</f>
        <v>7.625</v>
      </c>
    </row>
    <row r="14" spans="1:7" x14ac:dyDescent="0.25">
      <c r="G14" s="9"/>
    </row>
    <row r="15" spans="1:7" x14ac:dyDescent="0.25">
      <c r="A15" s="1" t="s">
        <v>19</v>
      </c>
      <c r="B15" s="1">
        <f>SUM(F5:F13)</f>
        <v>36</v>
      </c>
    </row>
    <row r="16" spans="1:7" x14ac:dyDescent="0.25">
      <c r="A16" s="1" t="s">
        <v>20</v>
      </c>
      <c r="B16" s="10">
        <f>MAX(G5:G13)</f>
        <v>7.875</v>
      </c>
    </row>
    <row r="17" spans="1:2" x14ac:dyDescent="0.25">
      <c r="A17" s="1" t="s">
        <v>21</v>
      </c>
      <c r="B17" s="10">
        <f>MIN(G5:G13)</f>
        <v>5.75</v>
      </c>
    </row>
  </sheetData>
  <mergeCells count="6"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2DC6-C2EA-458B-82D6-A47B6CC2B158}">
  <dimension ref="A1:G17"/>
  <sheetViews>
    <sheetView topLeftCell="A2" workbookViewId="0">
      <selection activeCell="B15" sqref="B15"/>
    </sheetView>
  </sheetViews>
  <sheetFormatPr defaultRowHeight="15" x14ac:dyDescent="0.25"/>
  <cols>
    <col min="1" max="1" width="17" customWidth="1"/>
  </cols>
  <sheetData>
    <row r="1" spans="1:7" x14ac:dyDescent="0.25">
      <c r="A1" s="3"/>
      <c r="B1" s="3"/>
      <c r="C1" s="3" t="s">
        <v>1</v>
      </c>
      <c r="D1" s="3"/>
      <c r="E1" s="3"/>
      <c r="F1" s="3"/>
      <c r="G1" s="3"/>
    </row>
    <row r="2" spans="1:7" ht="18.75" customHeight="1" x14ac:dyDescent="0.25">
      <c r="A2" s="4"/>
      <c r="B2" s="4"/>
      <c r="C2" s="4" t="s">
        <v>2</v>
      </c>
      <c r="D2" s="4"/>
      <c r="E2" s="4"/>
      <c r="F2" s="4"/>
      <c r="G2" s="4"/>
    </row>
    <row r="3" spans="1:7" ht="43.5" customHeight="1" x14ac:dyDescent="0.25">
      <c r="A3" s="5" t="s">
        <v>0</v>
      </c>
      <c r="B3" s="6" t="s">
        <v>13</v>
      </c>
      <c r="C3" s="6" t="s">
        <v>14</v>
      </c>
      <c r="D3" s="7" t="s">
        <v>15</v>
      </c>
      <c r="E3" s="6" t="s">
        <v>16</v>
      </c>
      <c r="F3" s="6" t="s">
        <v>17</v>
      </c>
      <c r="G3" s="6" t="s">
        <v>18</v>
      </c>
    </row>
    <row r="4" spans="1:7" ht="52.5" customHeight="1" x14ac:dyDescent="0.25">
      <c r="A4" s="5" t="s">
        <v>3</v>
      </c>
      <c r="B4" s="6"/>
      <c r="C4" s="6"/>
      <c r="D4" s="7"/>
      <c r="E4" s="6"/>
      <c r="F4" s="6"/>
      <c r="G4" s="6"/>
    </row>
    <row r="5" spans="1:7" x14ac:dyDescent="0.25">
      <c r="A5" s="1" t="s">
        <v>4</v>
      </c>
      <c r="B5" s="8">
        <v>5</v>
      </c>
      <c r="C5" s="8">
        <v>5</v>
      </c>
      <c r="D5" s="8">
        <v>4</v>
      </c>
      <c r="E5" s="8">
        <v>4</v>
      </c>
      <c r="F5" s="2">
        <v>1</v>
      </c>
      <c r="G5" s="10">
        <f>AVERAGE(B5:E5)</f>
        <v>4.5</v>
      </c>
    </row>
    <row r="6" spans="1:7" x14ac:dyDescent="0.25">
      <c r="A6" s="1" t="s">
        <v>5</v>
      </c>
      <c r="B6" s="8">
        <v>8</v>
      </c>
      <c r="C6" s="8">
        <v>6</v>
      </c>
      <c r="D6" s="8">
        <v>6</v>
      </c>
      <c r="E6" s="8">
        <v>8</v>
      </c>
      <c r="F6" s="2">
        <v>2</v>
      </c>
      <c r="G6" s="10">
        <f>AVERAGE(B6:E6)</f>
        <v>7</v>
      </c>
    </row>
    <row r="7" spans="1:7" x14ac:dyDescent="0.25">
      <c r="A7" s="1" t="s">
        <v>6</v>
      </c>
      <c r="B7" s="8">
        <v>6.25</v>
      </c>
      <c r="C7" s="8">
        <v>5.25</v>
      </c>
      <c r="D7" s="8">
        <v>8.25</v>
      </c>
      <c r="E7" s="8">
        <v>7</v>
      </c>
      <c r="F7" s="2">
        <v>1</v>
      </c>
      <c r="G7" s="10">
        <f>AVERAGE(B7:E7)</f>
        <v>6.6875</v>
      </c>
    </row>
    <row r="8" spans="1:7" x14ac:dyDescent="0.25">
      <c r="A8" s="1" t="s">
        <v>7</v>
      </c>
      <c r="B8" s="8">
        <v>5.5</v>
      </c>
      <c r="C8" s="8">
        <v>8</v>
      </c>
      <c r="D8" s="8">
        <v>6.5</v>
      </c>
      <c r="E8" s="2">
        <v>7.25</v>
      </c>
      <c r="F8" s="2">
        <v>2</v>
      </c>
      <c r="G8" s="11">
        <f>AVERAGE(B8:E8)</f>
        <v>6.8125</v>
      </c>
    </row>
    <row r="9" spans="1:7" x14ac:dyDescent="0.25">
      <c r="A9" s="1" t="s">
        <v>8</v>
      </c>
      <c r="B9" s="8">
        <v>7</v>
      </c>
      <c r="C9" s="8">
        <v>9.5</v>
      </c>
      <c r="D9" s="8">
        <v>8.25</v>
      </c>
      <c r="E9" s="8">
        <v>7</v>
      </c>
      <c r="F9" s="2">
        <v>2</v>
      </c>
      <c r="G9" s="11">
        <f>AVERAGE(B9:E9)</f>
        <v>7.9375</v>
      </c>
    </row>
    <row r="10" spans="1:7" x14ac:dyDescent="0.25">
      <c r="A10" s="1" t="s">
        <v>9</v>
      </c>
      <c r="B10" s="8">
        <v>9.25</v>
      </c>
      <c r="C10" s="8">
        <v>8</v>
      </c>
      <c r="D10" s="8">
        <v>9</v>
      </c>
      <c r="E10" s="8">
        <v>10</v>
      </c>
      <c r="F10" s="2">
        <v>1</v>
      </c>
      <c r="G10" s="11">
        <f>AVERAGE(B10:E10)</f>
        <v>9.0625</v>
      </c>
    </row>
    <row r="11" spans="1:7" x14ac:dyDescent="0.25">
      <c r="A11" s="1" t="s">
        <v>10</v>
      </c>
      <c r="B11" s="8">
        <v>8</v>
      </c>
      <c r="C11" s="8">
        <v>10</v>
      </c>
      <c r="D11" s="8">
        <v>9</v>
      </c>
      <c r="E11" s="8">
        <v>9</v>
      </c>
      <c r="F11" s="2">
        <v>0</v>
      </c>
      <c r="G11" s="11">
        <f>AVERAGE(B11:E11)</f>
        <v>9</v>
      </c>
    </row>
    <row r="12" spans="1:7" x14ac:dyDescent="0.25">
      <c r="A12" s="1" t="s">
        <v>11</v>
      </c>
      <c r="B12" s="2">
        <v>7.25</v>
      </c>
      <c r="C12" s="8">
        <v>8.25</v>
      </c>
      <c r="D12" s="8">
        <v>6.5</v>
      </c>
      <c r="E12" s="2">
        <v>9.25</v>
      </c>
      <c r="F12" s="2">
        <v>0</v>
      </c>
      <c r="G12" s="11">
        <f>AVERAGE(B12:E12)</f>
        <v>7.8125</v>
      </c>
    </row>
    <row r="13" spans="1:7" x14ac:dyDescent="0.25">
      <c r="A13" s="1" t="s">
        <v>12</v>
      </c>
      <c r="B13" s="8">
        <v>10</v>
      </c>
      <c r="C13" s="8">
        <v>8.25</v>
      </c>
      <c r="D13" s="8">
        <v>7</v>
      </c>
      <c r="E13" s="8">
        <v>9.5</v>
      </c>
      <c r="F13" s="2">
        <v>0</v>
      </c>
      <c r="G13" s="11">
        <f>AVERAGE(B13:E13)</f>
        <v>8.6875</v>
      </c>
    </row>
    <row r="14" spans="1:7" x14ac:dyDescent="0.25">
      <c r="G14" s="9"/>
    </row>
    <row r="15" spans="1:7" x14ac:dyDescent="0.25">
      <c r="A15" s="1" t="s">
        <v>19</v>
      </c>
      <c r="B15" s="10">
        <f>SUM(F5:F13)</f>
        <v>9</v>
      </c>
    </row>
    <row r="16" spans="1:7" x14ac:dyDescent="0.25">
      <c r="A16" s="1" t="s">
        <v>20</v>
      </c>
      <c r="B16" s="10">
        <f>MAX(G5:G13)</f>
        <v>9.0625</v>
      </c>
    </row>
    <row r="17" spans="1:2" x14ac:dyDescent="0.25">
      <c r="A17" s="1" t="s">
        <v>21</v>
      </c>
      <c r="B17" s="10">
        <f>MIN(G5:G13)</f>
        <v>4.5</v>
      </c>
    </row>
  </sheetData>
  <mergeCells count="6"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E512-C215-41BC-A476-810636651E83}">
  <dimension ref="A1:F13"/>
  <sheetViews>
    <sheetView tabSelected="1" workbookViewId="0">
      <selection activeCell="C15" sqref="C15"/>
    </sheetView>
  </sheetViews>
  <sheetFormatPr defaultRowHeight="15" x14ac:dyDescent="0.25"/>
  <cols>
    <col min="1" max="1" width="17" customWidth="1"/>
    <col min="2" max="2" width="14" customWidth="1"/>
    <col min="3" max="3" width="18.42578125" customWidth="1"/>
    <col min="4" max="4" width="13.5703125" customWidth="1"/>
    <col min="5" max="5" width="10.5703125" customWidth="1"/>
    <col min="6" max="6" width="11.28515625" customWidth="1"/>
  </cols>
  <sheetData>
    <row r="1" spans="1:6" x14ac:dyDescent="0.25">
      <c r="A1" s="12"/>
      <c r="B1" s="12"/>
      <c r="C1" s="12" t="s">
        <v>1</v>
      </c>
      <c r="D1" s="12"/>
      <c r="E1" s="12"/>
      <c r="F1" s="12"/>
    </row>
    <row r="2" spans="1:6" x14ac:dyDescent="0.25">
      <c r="A2" s="12" t="s">
        <v>22</v>
      </c>
      <c r="B2" s="12" t="s">
        <v>0</v>
      </c>
      <c r="C2" s="12"/>
      <c r="D2" s="12"/>
      <c r="E2" s="12"/>
      <c r="F2" s="12"/>
    </row>
    <row r="3" spans="1:6" x14ac:dyDescent="0.25">
      <c r="A3" s="13" t="s">
        <v>3</v>
      </c>
      <c r="B3" s="13" t="s">
        <v>23</v>
      </c>
      <c r="C3" s="13" t="s">
        <v>24</v>
      </c>
      <c r="D3" s="13" t="s">
        <v>25</v>
      </c>
      <c r="E3" s="13" t="s">
        <v>26</v>
      </c>
      <c r="F3" s="13" t="s">
        <v>27</v>
      </c>
    </row>
    <row r="4" spans="1:6" x14ac:dyDescent="0.25">
      <c r="A4" s="1" t="s">
        <v>4</v>
      </c>
      <c r="B4" s="10">
        <f>Planilha1!G5</f>
        <v>6.125</v>
      </c>
      <c r="C4" s="10">
        <f>'Planilha1 (2)'!G5</f>
        <v>5.75</v>
      </c>
      <c r="D4" s="10">
        <f>'Planilha1 (3)'!G5</f>
        <v>4.5</v>
      </c>
      <c r="E4" s="14">
        <f>Planilha1!F5+'Planilha1 (2)'!F5+'Planilha1 (3)'!F5</f>
        <v>42</v>
      </c>
      <c r="F4" s="10">
        <f>AVERAGE(B4:D4)</f>
        <v>5.458333333333333</v>
      </c>
    </row>
    <row r="5" spans="1:6" x14ac:dyDescent="0.25">
      <c r="A5" s="1" t="s">
        <v>5</v>
      </c>
      <c r="B5" s="10">
        <f>Planilha1!G6</f>
        <v>5.375</v>
      </c>
      <c r="C5" s="10">
        <f>'Planilha1 (2)'!G6</f>
        <v>6.75</v>
      </c>
      <c r="D5" s="10">
        <v>7</v>
      </c>
      <c r="E5" s="14">
        <f>Planilha1!F6+'Planilha1 (2)'!F6+'Planilha1 (3)'!F6</f>
        <v>14</v>
      </c>
      <c r="F5" s="10">
        <f t="shared" ref="F5:F12" si="0">AVERAGE(B5:D5)</f>
        <v>6.375</v>
      </c>
    </row>
    <row r="6" spans="1:6" x14ac:dyDescent="0.25">
      <c r="A6" s="1" t="s">
        <v>28</v>
      </c>
      <c r="B6" s="10">
        <f>Planilha1!G7</f>
        <v>6.6875</v>
      </c>
      <c r="C6" s="10">
        <f>'Planilha1 (2)'!G7</f>
        <v>7.25</v>
      </c>
      <c r="D6" s="10">
        <f>'Planilha1 (3)'!G7</f>
        <v>6.6875</v>
      </c>
      <c r="E6" s="14">
        <f>Planilha1!F7+'Planilha1 (2)'!F7+'Planilha1 (3)'!F7</f>
        <v>11</v>
      </c>
      <c r="F6" s="10">
        <f t="shared" si="0"/>
        <v>6.875</v>
      </c>
    </row>
    <row r="7" spans="1:6" x14ac:dyDescent="0.25">
      <c r="A7" s="1" t="s">
        <v>29</v>
      </c>
      <c r="B7" s="10">
        <f>Planilha1!G8</f>
        <v>6.8125</v>
      </c>
      <c r="C7" s="10">
        <f>'Planilha1 (2)'!G8</f>
        <v>7.0625</v>
      </c>
      <c r="D7" s="10">
        <v>6.8</v>
      </c>
      <c r="E7" s="14">
        <f>Planilha1!F8+'Planilha1 (2)'!F8+'Planilha1 (3)'!F8</f>
        <v>2</v>
      </c>
      <c r="F7" s="10">
        <f t="shared" si="0"/>
        <v>6.8916666666666666</v>
      </c>
    </row>
    <row r="8" spans="1:6" x14ac:dyDescent="0.25">
      <c r="A8" s="1" t="s">
        <v>30</v>
      </c>
      <c r="B8" s="10">
        <f>Planilha1!G9</f>
        <v>7.9375</v>
      </c>
      <c r="C8" s="10">
        <f>'Planilha1 (2)'!G9</f>
        <v>7.0625</v>
      </c>
      <c r="D8" s="10">
        <f>'Planilha1 (3)'!G9</f>
        <v>7.9375</v>
      </c>
      <c r="E8" s="14">
        <f>Planilha1!F9+'Planilha1 (2)'!F9+'Planilha1 (3)'!F9</f>
        <v>2</v>
      </c>
      <c r="F8" s="10">
        <f t="shared" si="0"/>
        <v>7.645833333333333</v>
      </c>
    </row>
    <row r="9" spans="1:6" x14ac:dyDescent="0.25">
      <c r="A9" s="1" t="s">
        <v>31</v>
      </c>
      <c r="B9" s="10">
        <f>Planilha1!G10</f>
        <v>9.0625</v>
      </c>
      <c r="C9" s="10">
        <f>'Planilha1 (2)'!G10</f>
        <v>7.5</v>
      </c>
      <c r="D9" s="10">
        <v>9.1</v>
      </c>
      <c r="E9" s="14">
        <f>Planilha1!F10+'Planilha1 (2)'!F10+'Planilha1 (3)'!F10</f>
        <v>5</v>
      </c>
      <c r="F9" s="10">
        <f t="shared" si="0"/>
        <v>8.5541666666666671</v>
      </c>
    </row>
    <row r="10" spans="1:6" x14ac:dyDescent="0.25">
      <c r="A10" s="1" t="s">
        <v>32</v>
      </c>
      <c r="B10" s="10">
        <f>Planilha1!G11</f>
        <v>8.375</v>
      </c>
      <c r="C10" s="10">
        <f>'Planilha1 (2)'!G11</f>
        <v>7.25</v>
      </c>
      <c r="D10" s="10">
        <f>'Planilha1 (3)'!G11</f>
        <v>9</v>
      </c>
      <c r="E10" s="14">
        <f>Planilha1!F11+'Planilha1 (2)'!F11+'Planilha1 (3)'!F11</f>
        <v>0</v>
      </c>
      <c r="F10" s="10">
        <f t="shared" si="0"/>
        <v>8.2083333333333339</v>
      </c>
    </row>
    <row r="11" spans="1:6" x14ac:dyDescent="0.25">
      <c r="A11" s="1" t="s">
        <v>11</v>
      </c>
      <c r="B11" s="10">
        <f>Planilha1!G12</f>
        <v>7.8125</v>
      </c>
      <c r="C11" s="10">
        <f>'Planilha1 (2)'!G12</f>
        <v>7.875</v>
      </c>
      <c r="D11" s="10">
        <v>7.8</v>
      </c>
      <c r="E11" s="14">
        <f>Planilha1!F12+'Planilha1 (2)'!F12+'Planilha1 (3)'!F12</f>
        <v>4</v>
      </c>
      <c r="F11" s="10">
        <f t="shared" si="0"/>
        <v>7.8291666666666666</v>
      </c>
    </row>
    <row r="12" spans="1:6" x14ac:dyDescent="0.25">
      <c r="A12" s="1" t="s">
        <v>33</v>
      </c>
      <c r="B12" s="10">
        <f>Planilha1!G13</f>
        <v>8.6875</v>
      </c>
      <c r="C12" s="10">
        <f>'Planilha1 (2)'!G13</f>
        <v>7.625</v>
      </c>
      <c r="D12" s="10">
        <f>'Planilha1 (3)'!G13</f>
        <v>8.6875</v>
      </c>
      <c r="E12" s="14">
        <v>0</v>
      </c>
      <c r="F12" s="10">
        <f t="shared" si="0"/>
        <v>8.3333333333333339</v>
      </c>
    </row>
    <row r="13" spans="1:6" x14ac:dyDescent="0.25">
      <c r="D13" s="1" t="s">
        <v>19</v>
      </c>
      <c r="E13" s="14">
        <f>SUM(E4:E12)</f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Planilha1 (2)</vt:lpstr>
      <vt:lpstr>Planilha1 (3)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alunoei</dc:creator>
  <cp:lastModifiedBy>alunoei</cp:lastModifiedBy>
  <dcterms:created xsi:type="dcterms:W3CDTF">2026-03-26T16:32:40Z</dcterms:created>
  <dcterms:modified xsi:type="dcterms:W3CDTF">2026-03-26T18:52:33Z</dcterms:modified>
</cp:coreProperties>
</file>